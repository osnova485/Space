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DB8AC3E2-1DD0-4425-80EA-F9C240DFC4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U14" i="1"/>
  <c r="T14" i="1"/>
  <c r="S14" i="1"/>
  <c r="G4" i="1"/>
  <c r="G5" i="1"/>
  <c r="G6" i="1"/>
  <c r="G7" i="1"/>
  <c r="G8" i="1"/>
  <c r="G9" i="1"/>
  <c r="G10" i="1"/>
  <c r="G11" i="1"/>
  <c r="F4" i="1"/>
  <c r="F5" i="1"/>
  <c r="F6" i="1"/>
  <c r="F7" i="1"/>
  <c r="F8" i="1"/>
  <c r="F9" i="1"/>
  <c r="F10" i="1"/>
  <c r="F11" i="1"/>
  <c r="G13" i="1"/>
  <c r="G14" i="1"/>
  <c r="G15" i="1"/>
  <c r="G16" i="1"/>
  <c r="G17" i="1"/>
  <c r="G18" i="1"/>
  <c r="G19" i="1"/>
  <c r="G20" i="1"/>
  <c r="G12" i="1"/>
  <c r="G3" i="1"/>
  <c r="F13" i="1"/>
  <c r="F14" i="1"/>
  <c r="F15" i="1"/>
  <c r="F16" i="1"/>
  <c r="F17" i="1"/>
  <c r="F18" i="1"/>
  <c r="F19" i="1"/>
  <c r="F20" i="1"/>
  <c r="F12" i="1"/>
  <c r="F3" i="1"/>
</calcChain>
</file>

<file path=xl/sharedStrings.xml><?xml version="1.0" encoding="utf-8"?>
<sst xmlns="http://schemas.openxmlformats.org/spreadsheetml/2006/main" count="62" uniqueCount="49">
  <si>
    <t>Изм</t>
  </si>
  <si>
    <t>Прямой ход</t>
  </si>
  <si>
    <t>Обратный ход</t>
  </si>
  <si>
    <t>Дельта</t>
  </si>
  <si>
    <t>b</t>
  </si>
  <si>
    <t>y</t>
  </si>
  <si>
    <t>5 </t>
  </si>
  <si>
    <t>25,48   </t>
  </si>
  <si>
    <t>24.61   </t>
  </si>
  <si>
    <t> 4 </t>
  </si>
  <si>
    <t>  31,36 </t>
  </si>
  <si>
    <t>  30.88 </t>
  </si>
  <si>
    <t>11 </t>
  </si>
  <si>
    <t>  68,81 </t>
  </si>
  <si>
    <t>  68.98 </t>
  </si>
  <si>
    <t> 16 </t>
  </si>
  <si>
    <t>99,62  </t>
  </si>
  <si>
    <t>  100.45 </t>
  </si>
  <si>
    <t xml:space="preserve">  8,1 </t>
  </si>
  <si>
    <t>19 </t>
  </si>
  <si>
    <t>  118.77 </t>
  </si>
  <si>
    <t>  118.45 </t>
  </si>
  <si>
    <t xml:space="preserve">  6,2 </t>
  </si>
  <si>
    <t xml:space="preserve">10   </t>
  </si>
  <si>
    <t>25 </t>
  </si>
  <si>
    <t>  156.28 </t>
  </si>
  <si>
    <t>  156.57 </t>
  </si>
  <si>
    <t xml:space="preserve">  8,2 </t>
  </si>
  <si>
    <t>199.52 </t>
  </si>
  <si>
    <t>199.96 </t>
  </si>
  <si>
    <t xml:space="preserve">  6,1 </t>
  </si>
  <si>
    <t xml:space="preserve">  10 </t>
  </si>
  <si>
    <t>36 </t>
  </si>
  <si>
    <t>224.6 </t>
  </si>
  <si>
    <t>225.39 </t>
  </si>
  <si>
    <t xml:space="preserve">  8 </t>
  </si>
  <si>
    <t>40 </t>
  </si>
  <si>
    <t>250.36 </t>
  </si>
  <si>
    <t>250.14 </t>
  </si>
  <si>
    <t xml:space="preserve">  6,4 </t>
  </si>
  <si>
    <t xml:space="preserve"> 10,1  </t>
  </si>
  <si>
    <t xml:space="preserve">  8,4 </t>
  </si>
  <si>
    <t xml:space="preserve"> 6,1  </t>
  </si>
  <si>
    <t xml:space="preserve">  10,3 </t>
  </si>
  <si>
    <t xml:space="preserve">  10,2 </t>
  </si>
  <si>
    <t xml:space="preserve">  8,5 </t>
  </si>
  <si>
    <t xml:space="preserve">  6,3 </t>
  </si>
  <si>
    <t xml:space="preserve">  10,1 </t>
  </si>
  <si>
    <t xml:space="preserve">  8,3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</si>
</sst>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0" borderId="9" xfId="0" applyFont="1" applyBorder="1" applyAlignment="1">
      <alignment wrapText="1" readingOrder="1"/>
    </xf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J15" sqref="J15"/>
    </sheetView>
  </sheetViews>
  <sheetFormatPr defaultRowHeight="15"/>
  <cols>
    <col min="2" max="2" width="11.28515625" bestFit="1" customWidth="1"/>
    <col min="3" max="3" width="13.28515625" bestFit="1" customWidth="1"/>
  </cols>
  <sheetData>
    <row r="1" spans="1:22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</row>
    <row r="2" spans="1:22">
      <c r="A2" s="1" t="s">
        <v>6</v>
      </c>
      <c r="B2" s="2" t="s">
        <v>7</v>
      </c>
      <c r="C2" s="3" t="s">
        <v>8</v>
      </c>
      <c r="F2" s="10"/>
    </row>
    <row r="3" spans="1:22">
      <c r="A3" s="4" t="s">
        <v>9</v>
      </c>
      <c r="B3" s="5" t="s">
        <v>10</v>
      </c>
      <c r="C3" s="6" t="s">
        <v>11</v>
      </c>
      <c r="F3" s="11">
        <f>I3-J3</f>
        <v>-20.48</v>
      </c>
      <c r="G3" s="11">
        <f>(F3/J3)*100%</f>
        <v>-0.8037676609105181</v>
      </c>
      <c r="I3">
        <v>5</v>
      </c>
      <c r="J3">
        <v>25.48</v>
      </c>
      <c r="K3">
        <v>24.61</v>
      </c>
    </row>
    <row r="4" spans="1:22">
      <c r="A4" s="4" t="s">
        <v>12</v>
      </c>
      <c r="B4" s="5" t="s">
        <v>13</v>
      </c>
      <c r="C4" s="6" t="s">
        <v>14</v>
      </c>
      <c r="F4" s="11">
        <f t="shared" ref="F4:F11" si="0">I4-J4</f>
        <v>-27.36</v>
      </c>
      <c r="G4" s="11">
        <f t="shared" ref="G4:G11" si="1">(F4/J4)*100%</f>
        <v>-0.87244897959183676</v>
      </c>
      <c r="I4">
        <v>4</v>
      </c>
      <c r="J4">
        <v>31.36</v>
      </c>
      <c r="K4">
        <v>30.88</v>
      </c>
      <c r="S4">
        <v>5.3</v>
      </c>
      <c r="T4">
        <v>8.1</v>
      </c>
      <c r="U4">
        <v>6.2</v>
      </c>
      <c r="V4">
        <v>10</v>
      </c>
    </row>
    <row r="5" spans="1:22">
      <c r="A5" s="4" t="s">
        <v>15</v>
      </c>
      <c r="B5" s="5" t="s">
        <v>16</v>
      </c>
      <c r="C5" s="6" t="s">
        <v>17</v>
      </c>
      <c r="F5" s="11">
        <f t="shared" si="0"/>
        <v>-57.81</v>
      </c>
      <c r="G5" s="11">
        <f t="shared" si="1"/>
        <v>-0.84013951460543523</v>
      </c>
      <c r="I5">
        <v>11</v>
      </c>
      <c r="J5">
        <v>68.81</v>
      </c>
      <c r="K5">
        <v>68.98</v>
      </c>
      <c r="Q5" t="s">
        <v>18</v>
      </c>
      <c r="S5">
        <v>5.0999999999999996</v>
      </c>
      <c r="T5">
        <v>8.1999999999999993</v>
      </c>
      <c r="U5">
        <v>6.1</v>
      </c>
      <c r="V5">
        <v>10</v>
      </c>
    </row>
    <row r="6" spans="1:22">
      <c r="A6" s="4" t="s">
        <v>19</v>
      </c>
      <c r="B6" s="5" t="s">
        <v>20</v>
      </c>
      <c r="C6" s="6" t="s">
        <v>21</v>
      </c>
      <c r="F6" s="11">
        <f t="shared" si="0"/>
        <v>-83.62</v>
      </c>
      <c r="G6" s="11">
        <f t="shared" si="1"/>
        <v>-0.83938968078699061</v>
      </c>
      <c r="I6">
        <v>16</v>
      </c>
      <c r="J6">
        <v>99.62</v>
      </c>
      <c r="K6">
        <v>100.54</v>
      </c>
      <c r="O6" t="s">
        <v>22</v>
      </c>
      <c r="P6" t="s">
        <v>23</v>
      </c>
      <c r="S6">
        <v>5.4</v>
      </c>
      <c r="T6">
        <v>8</v>
      </c>
      <c r="U6">
        <v>6.4</v>
      </c>
      <c r="V6">
        <v>10.1</v>
      </c>
    </row>
    <row r="7" spans="1:22">
      <c r="A7" s="4" t="s">
        <v>24</v>
      </c>
      <c r="B7" s="5" t="s">
        <v>25</v>
      </c>
      <c r="C7" s="6" t="s">
        <v>26</v>
      </c>
      <c r="F7" s="11">
        <f t="shared" si="0"/>
        <v>-99.77</v>
      </c>
      <c r="G7" s="11">
        <f t="shared" si="1"/>
        <v>-0.84002694283068113</v>
      </c>
      <c r="I7">
        <v>19</v>
      </c>
      <c r="J7">
        <v>118.77</v>
      </c>
      <c r="K7">
        <v>118.45</v>
      </c>
      <c r="Q7" t="s">
        <v>27</v>
      </c>
      <c r="S7">
        <v>5.2</v>
      </c>
      <c r="T7">
        <v>8.1999999999999993</v>
      </c>
      <c r="U7">
        <v>6.4</v>
      </c>
      <c r="V7">
        <v>10</v>
      </c>
    </row>
    <row r="8" spans="1:22" ht="15.75">
      <c r="A8" s="4">
        <v>32</v>
      </c>
      <c r="B8" s="5" t="s">
        <v>28</v>
      </c>
      <c r="C8" s="6" t="s">
        <v>29</v>
      </c>
      <c r="F8" s="11">
        <f t="shared" si="0"/>
        <v>-131.28</v>
      </c>
      <c r="G8" s="11">
        <f t="shared" si="1"/>
        <v>-0.84003071410289221</v>
      </c>
      <c r="I8">
        <v>25</v>
      </c>
      <c r="J8">
        <v>156.28</v>
      </c>
      <c r="K8">
        <v>156.57</v>
      </c>
      <c r="M8">
        <v>36</v>
      </c>
      <c r="O8" t="s">
        <v>30</v>
      </c>
      <c r="P8" t="s">
        <v>31</v>
      </c>
      <c r="S8">
        <v>5.3</v>
      </c>
      <c r="T8">
        <v>8.4</v>
      </c>
      <c r="U8">
        <v>6.1</v>
      </c>
      <c r="V8">
        <v>10.3</v>
      </c>
    </row>
    <row r="9" spans="1:22">
      <c r="A9" s="4" t="s">
        <v>32</v>
      </c>
      <c r="B9" s="5" t="s">
        <v>33</v>
      </c>
      <c r="C9" s="6" t="s">
        <v>34</v>
      </c>
      <c r="F9" s="11">
        <f t="shared" si="0"/>
        <v>-167.52</v>
      </c>
      <c r="G9" s="11">
        <f t="shared" si="1"/>
        <v>-0.83961507618283882</v>
      </c>
      <c r="I9">
        <v>32</v>
      </c>
      <c r="J9">
        <v>199.52</v>
      </c>
      <c r="K9">
        <v>199.96</v>
      </c>
      <c r="Q9" t="s">
        <v>35</v>
      </c>
      <c r="S9">
        <v>5.0999999999999996</v>
      </c>
      <c r="T9">
        <v>8</v>
      </c>
      <c r="U9">
        <v>6.4</v>
      </c>
      <c r="V9">
        <v>10.199999999999999</v>
      </c>
    </row>
    <row r="10" spans="1:22">
      <c r="A10" s="7" t="s">
        <v>36</v>
      </c>
      <c r="B10" s="8" t="s">
        <v>37</v>
      </c>
      <c r="C10" s="9" t="s">
        <v>38</v>
      </c>
      <c r="F10" s="11">
        <f t="shared" si="0"/>
        <v>-188.6</v>
      </c>
      <c r="G10" s="11">
        <f t="shared" si="1"/>
        <v>-0.83971504897595728</v>
      </c>
      <c r="I10">
        <v>36</v>
      </c>
      <c r="J10">
        <v>224.6</v>
      </c>
      <c r="K10">
        <v>225.39</v>
      </c>
      <c r="O10" t="s">
        <v>39</v>
      </c>
      <c r="P10" t="s">
        <v>40</v>
      </c>
      <c r="S10">
        <v>5.2</v>
      </c>
      <c r="T10">
        <v>8.5</v>
      </c>
      <c r="U10">
        <v>6.2</v>
      </c>
      <c r="V10">
        <v>10.3</v>
      </c>
    </row>
    <row r="11" spans="1:22">
      <c r="F11" s="11">
        <f t="shared" si="0"/>
        <v>-210.36</v>
      </c>
      <c r="G11" s="11">
        <f t="shared" si="1"/>
        <v>-0.84023006870107042</v>
      </c>
      <c r="I11">
        <v>40</v>
      </c>
      <c r="J11">
        <v>250.36</v>
      </c>
      <c r="K11">
        <v>250.14</v>
      </c>
      <c r="Q11" t="s">
        <v>27</v>
      </c>
      <c r="S11">
        <v>5.4</v>
      </c>
      <c r="T11">
        <v>8.1999999999999993</v>
      </c>
      <c r="U11">
        <v>6.3</v>
      </c>
      <c r="V11">
        <v>10.1</v>
      </c>
    </row>
    <row r="12" spans="1:22">
      <c r="F12" s="12">
        <f>I3-K3</f>
        <v>-19.61</v>
      </c>
      <c r="G12" s="12">
        <f>(F12/K3)*100%</f>
        <v>-0.79683055668427472</v>
      </c>
      <c r="O12" t="s">
        <v>39</v>
      </c>
      <c r="P12" t="s">
        <v>31</v>
      </c>
      <c r="S12">
        <v>5.2</v>
      </c>
      <c r="T12">
        <v>8.1</v>
      </c>
      <c r="U12">
        <v>6.3</v>
      </c>
      <c r="V12">
        <v>10.1</v>
      </c>
    </row>
    <row r="13" spans="1:22">
      <c r="F13" s="12">
        <f t="shared" ref="F13:F22" si="2">I4-K4</f>
        <v>-26.88</v>
      </c>
      <c r="G13" s="12">
        <f t="shared" ref="G13:G20" si="3">(F13/K4)*100%</f>
        <v>-0.8704663212435233</v>
      </c>
      <c r="Q13" t="s">
        <v>41</v>
      </c>
      <c r="S13">
        <v>5.2</v>
      </c>
      <c r="T13">
        <v>8.3000000000000007</v>
      </c>
      <c r="U13">
        <v>6.4</v>
      </c>
      <c r="V13">
        <v>10.3</v>
      </c>
    </row>
    <row r="14" spans="1:22">
      <c r="F14" s="12">
        <f t="shared" si="2"/>
        <v>-57.980000000000004</v>
      </c>
      <c r="G14" s="12">
        <f t="shared" si="3"/>
        <v>-0.8405334879675268</v>
      </c>
      <c r="O14" t="s">
        <v>42</v>
      </c>
      <c r="P14" t="s">
        <v>43</v>
      </c>
      <c r="S14">
        <f>AVERAGE(S4:S13)</f>
        <v>5.24</v>
      </c>
      <c r="T14">
        <f>AVERAGE(T4:T13)</f>
        <v>8.1999999999999993</v>
      </c>
      <c r="U14">
        <f>AVERAGE(U4:U13)</f>
        <v>6.2799999999999994</v>
      </c>
      <c r="V14">
        <f>AVERAGE(V4:V13)</f>
        <v>10.139999999999999</v>
      </c>
    </row>
    <row r="15" spans="1:22">
      <c r="F15" s="12">
        <f t="shared" si="2"/>
        <v>-84.54</v>
      </c>
      <c r="G15" s="12">
        <f t="shared" si="3"/>
        <v>-0.84085935945892187</v>
      </c>
      <c r="Q15" t="s">
        <v>35</v>
      </c>
    </row>
    <row r="16" spans="1:22">
      <c r="F16" s="12">
        <f t="shared" si="2"/>
        <v>-99.45</v>
      </c>
      <c r="G16" s="12">
        <f t="shared" si="3"/>
        <v>-0.8395947657239341</v>
      </c>
      <c r="O16" t="s">
        <v>39</v>
      </c>
      <c r="P16" t="s">
        <v>44</v>
      </c>
    </row>
    <row r="17" spans="6:17">
      <c r="F17" s="12">
        <f t="shared" si="2"/>
        <v>-131.57</v>
      </c>
      <c r="G17" s="12">
        <f t="shared" si="3"/>
        <v>-0.84032701028294055</v>
      </c>
      <c r="Q17" t="s">
        <v>45</v>
      </c>
    </row>
    <row r="18" spans="6:17">
      <c r="F18" s="12">
        <f t="shared" si="2"/>
        <v>-167.96</v>
      </c>
      <c r="G18" s="12">
        <f t="shared" si="3"/>
        <v>-0.83996799359871976</v>
      </c>
      <c r="O18" t="s">
        <v>22</v>
      </c>
      <c r="P18" t="s">
        <v>43</v>
      </c>
    </row>
    <row r="19" spans="6:17">
      <c r="F19" s="12">
        <f t="shared" si="2"/>
        <v>-189.39</v>
      </c>
      <c r="G19" s="12">
        <f t="shared" si="3"/>
        <v>-0.84027685345401304</v>
      </c>
      <c r="Q19" t="s">
        <v>27</v>
      </c>
    </row>
    <row r="20" spans="6:17">
      <c r="F20" s="12">
        <f t="shared" si="2"/>
        <v>-210.14</v>
      </c>
      <c r="G20" s="12">
        <f t="shared" si="3"/>
        <v>-0.84008954985208284</v>
      </c>
      <c r="O20" t="s">
        <v>46</v>
      </c>
      <c r="P20" t="s">
        <v>47</v>
      </c>
    </row>
    <row r="21" spans="6:17">
      <c r="Q21" t="s">
        <v>18</v>
      </c>
    </row>
    <row r="22" spans="6:17">
      <c r="O22" t="s">
        <v>46</v>
      </c>
      <c r="P22" t="s">
        <v>40</v>
      </c>
    </row>
    <row r="23" spans="6:17">
      <c r="Q23" t="s">
        <v>48</v>
      </c>
    </row>
    <row r="24" spans="6:17">
      <c r="O24" t="s">
        <v>39</v>
      </c>
      <c r="P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2025-12-04T11:30:16Z</dcterms:created>
  <dcterms:modified xsi:type="dcterms:W3CDTF">2025-12-04T12:07:02Z</dcterms:modified>
  <cp:category/>
  <cp:contentStatus/>
</cp:coreProperties>
</file>